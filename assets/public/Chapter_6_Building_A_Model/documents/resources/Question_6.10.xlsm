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Kartik.COMPRO\Dropbox\HBP - Spreadsheet Modeling\Chapter_6_Building_A_Model\documents\resources\"/>
    </mc:Choice>
  </mc:AlternateContent>
  <bookViews>
    <workbookView xWindow="0" yWindow="3600" windowWidth="24000" windowHeight="9735" tabRatio="743" activeTab="7"/>
  </bookViews>
  <sheets>
    <sheet name="6.10_Step1_Initial" sheetId="1" r:id="rId1"/>
    <sheet name="6.10_Step1_Final" sheetId="2" r:id="rId2"/>
    <sheet name="6.10_Step2_Initial" sheetId="8" r:id="rId3"/>
    <sheet name="6.10_Step2_Final" sheetId="9" r:id="rId4"/>
    <sheet name="6.10_Step3_Initial" sheetId="10" r:id="rId5"/>
    <sheet name="6.10_Step3_Final" sheetId="11" r:id="rId6"/>
    <sheet name="6.10_Step4_Initial" sheetId="12" r:id="rId7"/>
    <sheet name="6.10_Step4_Final" sheetId="14" r:id="rId8"/>
  </sheets>
  <definedNames>
    <definedName name="Annual_Capacity" localSheetId="1">'6.10_Step1_Final'!$B$3</definedName>
    <definedName name="Annual_Capacity" localSheetId="0">'6.10_Step1_Initial'!$B$3</definedName>
    <definedName name="Annual_Capacity" localSheetId="3">'6.10_Step2_Final'!$B$3</definedName>
    <definedName name="Annual_Capacity" localSheetId="2">'6.10_Step2_Initial'!$B$3</definedName>
    <definedName name="Annual_Capacity" localSheetId="5">'6.10_Step3_Final'!$B$3</definedName>
    <definedName name="Annual_Capacity" localSheetId="4">'6.10_Step3_Initial'!$B$3</definedName>
    <definedName name="Annual_Capacity" localSheetId="7">'6.10_Step4_Final'!$B$3</definedName>
    <definedName name="Annual_Capacity" localSheetId="6">'6.10_Step4_Initial'!$B$3</definedName>
    <definedName name="Annual_price_increase" localSheetId="1">'6.10_Step1_Final'!$B$11</definedName>
    <definedName name="Annual_price_increase" localSheetId="2">'6.10_Step2_Initial'!$B$11</definedName>
    <definedName name="Annual_price_increase" localSheetId="4">'6.10_Step3_Initial'!$B$11</definedName>
    <definedName name="Annual_price_increase" localSheetId="7">'6.10_Step4_Final'!$B$11</definedName>
    <definedName name="Annual_price_increase" localSheetId="6">'6.10_Step4_Initial'!$B$11</definedName>
    <definedName name="Annual_price_increase">'6.10_Step1_Initial'!$B$11</definedName>
    <definedName name="Annual_unit_cost_rate_of_increase" localSheetId="1">'6.10_Step1_Final'!$B$13</definedName>
    <definedName name="Annual_unit_cost_rate_of_increase" localSheetId="2">'6.10_Step2_Initial'!$B$13</definedName>
    <definedName name="Annual_unit_cost_rate_of_increase" localSheetId="4">'6.10_Step3_Initial'!$B$13</definedName>
    <definedName name="Annual_unit_cost_rate_of_increase" localSheetId="7">'6.10_Step4_Final'!$B$13</definedName>
    <definedName name="Annual_unit_cost_rate_of_increase" localSheetId="6">'6.10_Step4_Initial'!$B$13</definedName>
    <definedName name="Annual_unit_cost_rate_of_increase">'6.10_Step1_Initial'!$B$13</definedName>
    <definedName name="Beginning_growth_rate" localSheetId="1">'6.10_Step1_Final'!$B$8</definedName>
    <definedName name="Beginning_growth_rate" localSheetId="2">'6.10_Step2_Initial'!$B$8</definedName>
    <definedName name="Beginning_growth_rate" localSheetId="4">'6.10_Step3_Initial'!$B$8</definedName>
    <definedName name="Beginning_growth_rate" localSheetId="7">'6.10_Step4_Final'!$B$8</definedName>
    <definedName name="Beginning_growth_rate" localSheetId="6">'6.10_Step4_Initial'!$B$8</definedName>
    <definedName name="Beginning_growth_rate">'6.10_Step1_Initial'!$B$8</definedName>
    <definedName name="Cost_per_unit_of_capacity" localSheetId="1">'6.10_Step1_Final'!$B$2</definedName>
    <definedName name="Cost_per_unit_of_capacity" localSheetId="0">'6.10_Step1_Initial'!$B$2</definedName>
    <definedName name="Cost_per_unit_of_capacity" localSheetId="3">'6.10_Step2_Final'!$B$2</definedName>
    <definedName name="Cost_per_unit_of_capacity" localSheetId="2">'6.10_Step2_Initial'!$B$2</definedName>
    <definedName name="Cost_per_unit_of_capacity" localSheetId="5">'6.10_Step3_Final'!$B$2</definedName>
    <definedName name="Cost_per_unit_of_capacity" localSheetId="4">'6.10_Step3_Initial'!$B$2</definedName>
    <definedName name="Cost_per_unit_of_capacity" localSheetId="7">'6.10_Step4_Final'!$B$2</definedName>
    <definedName name="Cost_per_unit_of_capacity" localSheetId="6">'6.10_Step4_Initial'!$B$2</definedName>
    <definedName name="Discount_rate" localSheetId="1">'6.10_Step1_Final'!$B$14</definedName>
    <definedName name="Discount_rate" localSheetId="2">'6.10_Step2_Initial'!$B$14</definedName>
    <definedName name="Discount_rate" localSheetId="4">'6.10_Step3_Initial'!$B$14</definedName>
    <definedName name="Discount_rate" localSheetId="7">'6.10_Step4_Final'!$B$14</definedName>
    <definedName name="Discount_rate" localSheetId="6">'6.10_Step4_Initial'!$B$14</definedName>
    <definedName name="Discount_rate">'6.10_Step1_Initial'!$B$14</definedName>
    <definedName name="Plant_fixed_cost" localSheetId="1">'6.10_Step1_Final'!$B$1</definedName>
    <definedName name="Plant_fixed_cost" localSheetId="0">'6.10_Step1_Initial'!$B$1</definedName>
    <definedName name="Plant_fixed_cost" localSheetId="3">'6.10_Step2_Final'!$B$1</definedName>
    <definedName name="Plant_fixed_cost" localSheetId="2">'6.10_Step2_Initial'!$B$1</definedName>
    <definedName name="Plant_fixed_cost" localSheetId="5">'6.10_Step3_Final'!$B$1</definedName>
    <definedName name="Plant_fixed_cost" localSheetId="4">'6.10_Step3_Initial'!$B$1</definedName>
    <definedName name="Plant_fixed_cost" localSheetId="7">'6.10_Step4_Final'!$B$1</definedName>
    <definedName name="Plant_fixed_cost" localSheetId="6">'6.10_Step4_Initial'!$B$1</definedName>
    <definedName name="Steady_beginning" localSheetId="1">'6.10_Step1_Final'!$B$9</definedName>
    <definedName name="Steady_beginning" localSheetId="2">'6.10_Step2_Initial'!$B$9</definedName>
    <definedName name="Steady_beginning" localSheetId="4">'6.10_Step3_Initial'!$B$9</definedName>
    <definedName name="Steady_beginning" localSheetId="7">'6.10_Step4_Final'!$B$9</definedName>
    <definedName name="Steady_beginning" localSheetId="6">'6.10_Step4_Initial'!$B$9</definedName>
    <definedName name="Steady_beginning">'6.10_Step1_Initial'!$B$9</definedName>
    <definedName name="Steady_state_growth_rate" localSheetId="1">'6.10_Step1_Final'!$B$10</definedName>
    <definedName name="Steady_state_growth_rate" localSheetId="2">'6.10_Step2_Initial'!$B$10</definedName>
    <definedName name="Steady_state_growth_rate" localSheetId="4">'6.10_Step3_Initial'!$B$10</definedName>
    <definedName name="Steady_state_growth_rate" localSheetId="7">'6.10_Step4_Final'!$B$10</definedName>
    <definedName name="Steady_state_growth_rate" localSheetId="6">'6.10_Step4_Initial'!$B$10</definedName>
    <definedName name="Steady_state_growth_rate">'6.10_Step1_Initial'!$B$10</definedName>
    <definedName name="Year_1_demand_intercept" localSheetId="1">'6.10_Step1_Final'!$B$5</definedName>
    <definedName name="Year_1_demand_intercept" localSheetId="2">'6.10_Step2_Initial'!$B$5</definedName>
    <definedName name="Year_1_demand_intercept" localSheetId="4">'6.10_Step3_Initial'!$B$5</definedName>
    <definedName name="Year_1_demand_intercept" localSheetId="7">'6.10_Step4_Final'!$B$5</definedName>
    <definedName name="Year_1_demand_intercept" localSheetId="6">'6.10_Step4_Initial'!$B$5</definedName>
    <definedName name="Year_1_demand_intercept">'6.10_Step1_Initial'!$B$5</definedName>
    <definedName name="Year_1_demand_slope" localSheetId="1">'6.10_Step1_Final'!$B$6</definedName>
    <definedName name="Year_1_demand_slope" localSheetId="2">'6.10_Step2_Initial'!$B$6</definedName>
    <definedName name="Year_1_demand_slope" localSheetId="4">'6.10_Step3_Initial'!$B$6</definedName>
    <definedName name="Year_1_demand_slope" localSheetId="7">'6.10_Step4_Final'!$B$6</definedName>
    <definedName name="Year_1_demand_slope" localSheetId="6">'6.10_Step4_Initial'!$B$6</definedName>
    <definedName name="Year_1_demand_slope">'6.10_Step1_Initial'!$B$6</definedName>
    <definedName name="Year_1_selling_price" localSheetId="1">'6.10_Step1_Final'!$B$4</definedName>
    <definedName name="Year_1_selling_price" localSheetId="2">'6.10_Step2_Initial'!$B$4</definedName>
    <definedName name="Year_1_selling_price" localSheetId="4">'6.10_Step3_Initial'!$B$4</definedName>
    <definedName name="Year_1_selling_price" localSheetId="7">'6.10_Step4_Final'!$B$4</definedName>
    <definedName name="Year_1_selling_price" localSheetId="6">'6.10_Step4_Initial'!$B$4</definedName>
    <definedName name="Year_1_selling_price">'6.10_Step1_Initial'!$B$4</definedName>
    <definedName name="Year_1_variable_cost_of_production" localSheetId="1">'6.10_Step1_Final'!$B$12</definedName>
    <definedName name="Year_1_variable_cost_of_production" localSheetId="2">'6.10_Step2_Initial'!$B$12</definedName>
    <definedName name="Year_1_variable_cost_of_production" localSheetId="4">'6.10_Step3_Initial'!$B$12</definedName>
    <definedName name="Year_1_variable_cost_of_production" localSheetId="7">'6.10_Step4_Final'!$B$12</definedName>
    <definedName name="Year_1_variable_cost_of_production" localSheetId="6">'6.10_Step4_Initial'!$B$12</definedName>
    <definedName name="Year_1_variable_cost_of_production">'6.10_Step1_Initial'!$B$12</definedName>
    <definedName name="Years_till_demand_steady_state" localSheetId="1">'6.10_Step1_Final'!$B$7</definedName>
    <definedName name="Years_till_demand_steady_state" localSheetId="2">'6.10_Step2_Initial'!$B$7</definedName>
    <definedName name="Years_till_demand_steady_state" localSheetId="4">'6.10_Step3_Initial'!$B$7</definedName>
    <definedName name="Years_till_demand_steady_state" localSheetId="7">'6.10_Step4_Final'!$B$7</definedName>
    <definedName name="Years_till_demand_steady_state" localSheetId="6">'6.10_Step4_Initial'!$B$7</definedName>
    <definedName name="Years_till_demand_steady_state">'6.10_Step1_Initial'!$B$7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8" i="14" l="1"/>
  <c r="B17" i="1" l="1"/>
  <c r="E18" i="14" l="1"/>
  <c r="F18" i="14"/>
  <c r="G18" i="14"/>
  <c r="H18" i="14"/>
  <c r="I18" i="14"/>
  <c r="J18" i="14"/>
  <c r="K18" i="14"/>
  <c r="D18" i="14"/>
  <c r="B17" i="11"/>
  <c r="B17" i="10"/>
  <c r="B17" i="9"/>
  <c r="B17" i="8"/>
  <c r="B17" i="2"/>
  <c r="C19" i="14" l="1"/>
  <c r="B17" i="14" l="1"/>
  <c r="B9" i="14"/>
  <c r="B10" i="14" s="1"/>
  <c r="C19" i="12"/>
  <c r="B17" i="12"/>
  <c r="B9" i="12"/>
  <c r="B10" i="12" s="1"/>
  <c r="C19" i="11"/>
  <c r="B9" i="11"/>
  <c r="B10" i="11" s="1"/>
  <c r="B9" i="10"/>
  <c r="B10" i="10" s="1"/>
  <c r="B9" i="9"/>
  <c r="B10" i="9" s="1"/>
  <c r="B9" i="8"/>
  <c r="B9" i="2"/>
</calcChain>
</file>

<file path=xl/sharedStrings.xml><?xml version="1.0" encoding="utf-8"?>
<sst xmlns="http://schemas.openxmlformats.org/spreadsheetml/2006/main" count="190" uniqueCount="27">
  <si>
    <t>Plant fixed cost</t>
  </si>
  <si>
    <t>?</t>
  </si>
  <si>
    <t>Cost per unit of capacity</t>
  </si>
  <si>
    <t>per unit of annual capacity</t>
  </si>
  <si>
    <t>Annual Capacity</t>
  </si>
  <si>
    <t>Year 1 selling price</t>
  </si>
  <si>
    <t>Year 1 demand intercept</t>
  </si>
  <si>
    <t>Demand if product is given away</t>
  </si>
  <si>
    <t>Year 1 demand slope</t>
  </si>
  <si>
    <t>Reduction in demand for each $1 price increase</t>
  </si>
  <si>
    <t>Years till demand steady state</t>
  </si>
  <si>
    <t>Beginning growth rate</t>
  </si>
  <si>
    <t>Steady/beginning</t>
  </si>
  <si>
    <t>Steady state growth rate</t>
  </si>
  <si>
    <t>Annual price increase</t>
  </si>
  <si>
    <t>Year 1 variable cost of production</t>
  </si>
  <si>
    <t>Annual unit cost rate of increase</t>
  </si>
  <si>
    <t>Discount rate</t>
  </si>
  <si>
    <t>Total Cost of Construction</t>
  </si>
  <si>
    <t>Demand Growth</t>
  </si>
  <si>
    <t>Demand</t>
  </si>
  <si>
    <t>Units sold</t>
  </si>
  <si>
    <t>Selling Price per unit</t>
  </si>
  <si>
    <t>Variable cost per unit sold</t>
  </si>
  <si>
    <t>Revenue</t>
  </si>
  <si>
    <t>Variable cost</t>
  </si>
  <si>
    <t>Net 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</si>
</sst>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(&quot;$&quot;* #,##0.00_);_(&quot;$&quot;* \(#,##0.00\);_(&quot;$&quot;* &quot;-&quot;??_);_(@_)"/>
    <numFmt numFmtId="164" formatCode="0.0%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D961"/>
        <bgColor indexed="64"/>
      </patternFill>
    </fill>
    <fill>
      <patternFill patternType="solid">
        <fgColor theme="7" tint="0.3999755851924192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8">
    <xf numFmtId="0" fontId="0" fillId="0" borderId="0" xfId="0"/>
    <xf numFmtId="0" fontId="0" fillId="0" borderId="1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5" xfId="0" applyFont="1" applyBorder="1"/>
    <xf numFmtId="0" fontId="0" fillId="0" borderId="0" xfId="0" applyFont="1" applyBorder="1"/>
    <xf numFmtId="14" fontId="0" fillId="0" borderId="0" xfId="0" applyNumberFormat="1" applyFont="1" applyBorder="1"/>
    <xf numFmtId="0" fontId="0" fillId="0" borderId="6" xfId="0" applyFont="1" applyBorder="1"/>
    <xf numFmtId="14" fontId="0" fillId="0" borderId="5" xfId="0" applyNumberFormat="1" applyFont="1" applyBorder="1"/>
    <xf numFmtId="0" fontId="0" fillId="0" borderId="2" xfId="0" applyFont="1" applyBorder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5" xfId="0" applyBorder="1"/>
    <xf numFmtId="44" fontId="1" fillId="2" borderId="2" xfId="1" applyFont="1" applyFill="1" applyBorder="1"/>
    <xf numFmtId="44" fontId="1" fillId="2" borderId="0" xfId="1" applyFont="1" applyFill="1" applyBorder="1"/>
    <xf numFmtId="0" fontId="0" fillId="3" borderId="0" xfId="0" applyFont="1" applyFill="1" applyBorder="1"/>
    <xf numFmtId="44" fontId="1" fillId="3" borderId="0" xfId="1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164" fontId="0" fillId="2" borderId="0" xfId="0" applyNumberFormat="1" applyFont="1" applyFill="1" applyBorder="1" applyAlignment="1">
      <alignment horizontal="center"/>
    </xf>
    <xf numFmtId="10" fontId="0" fillId="4" borderId="0" xfId="0" applyNumberFormat="1" applyFont="1" applyFill="1" applyBorder="1" applyAlignment="1">
      <alignment horizontal="center"/>
    </xf>
    <xf numFmtId="164" fontId="0" fillId="2" borderId="0" xfId="0" applyNumberFormat="1" applyFont="1" applyFill="1" applyBorder="1"/>
    <xf numFmtId="44" fontId="1" fillId="4" borderId="0" xfId="1" applyFont="1" applyFill="1" applyBorder="1"/>
    <xf numFmtId="0" fontId="0" fillId="4" borderId="5" xfId="0" applyFont="1" applyFill="1" applyBorder="1"/>
    <xf numFmtId="164" fontId="0" fillId="4" borderId="5" xfId="0" applyNumberFormat="1" applyFont="1" applyFill="1" applyBorder="1"/>
    <xf numFmtId="0" fontId="0" fillId="4" borderId="7" xfId="0" applyFont="1" applyFill="1" applyBorder="1"/>
    <xf numFmtId="39" fontId="0" fillId="4" borderId="8" xfId="0" applyNumberFormat="1" applyFont="1" applyFill="1" applyBorder="1"/>
    <xf numFmtId="0" fontId="0" fillId="2" borderId="0" xfId="0" applyFont="1" applyFill="1" applyBorder="1" applyAlignment="1">
      <alignment horizontal="right"/>
    </xf>
    <xf numFmtId="164" fontId="0" fillId="2" borderId="0" xfId="0" applyNumberFormat="1" applyFont="1" applyFill="1" applyBorder="1" applyAlignment="1">
      <alignment horizontal="right"/>
    </xf>
    <xf numFmtId="10" fontId="0" fillId="4" borderId="0" xfId="0" applyNumberFormat="1" applyFont="1" applyFill="1" applyBorder="1" applyAlignment="1">
      <alignment horizontal="right"/>
    </xf>
    <xf numFmtId="44" fontId="1" fillId="2" borderId="0" xfId="1" applyFont="1" applyFill="1" applyBorder="1" applyAlignment="1">
      <alignment horizontal="right"/>
    </xf>
    <xf numFmtId="0" fontId="0" fillId="5" borderId="0" xfId="0" applyFont="1" applyFill="1" applyBorder="1"/>
    <xf numFmtId="44" fontId="1" fillId="5" borderId="0" xfId="1" applyFont="1" applyFill="1" applyBorder="1"/>
    <xf numFmtId="0" fontId="0" fillId="5" borderId="5" xfId="0" applyFont="1" applyFill="1" applyBorder="1"/>
    <xf numFmtId="164" fontId="0" fillId="5" borderId="0" xfId="0" applyNumberFormat="1" applyFont="1" applyFill="1" applyBorder="1"/>
    <xf numFmtId="164" fontId="0" fillId="5" borderId="0" xfId="0" applyNumberFormat="1" applyFont="1" applyFill="1" applyAlignment="1">
      <alignment horizontal="center"/>
    </xf>
    <xf numFmtId="0" fontId="0" fillId="5" borderId="5" xfId="0" applyFont="1" applyFill="1" applyBorder="1" applyAlignment="1">
      <alignment horizontal="center"/>
    </xf>
    <xf numFmtId="44" fontId="0" fillId="5" borderId="0" xfId="0" applyNumberFormat="1" applyFont="1" applyFill="1" applyBorder="1"/>
    <xf numFmtId="39" fontId="0" fillId="5" borderId="0" xfId="0" applyNumberFormat="1" applyFont="1" applyFill="1" applyBorder="1"/>
    <xf numFmtId="39" fontId="0" fillId="5" borderId="5" xfId="0" applyNumberFormat="1" applyFont="1" applyFill="1" applyBorder="1"/>
    <xf numFmtId="1" fontId="0" fillId="5" borderId="0" xfId="0" applyNumberFormat="1" applyFont="1" applyFill="1" applyBorder="1"/>
    <xf numFmtId="1" fontId="0" fillId="5" borderId="5" xfId="0" applyNumberFormat="1" applyFont="1" applyFill="1" applyBorder="1"/>
    <xf numFmtId="44" fontId="1" fillId="5" borderId="5" xfId="1" applyFont="1" applyFill="1" applyBorder="1"/>
    <xf numFmtId="44" fontId="0" fillId="5" borderId="5" xfId="0" applyNumberFormat="1" applyFont="1" applyFill="1" applyBorder="1"/>
    <xf numFmtId="44" fontId="0" fillId="5" borderId="7" xfId="0" applyNumberFormat="1" applyFont="1" applyFill="1" applyBorder="1"/>
    <xf numFmtId="44" fontId="0" fillId="5" borderId="8" xfId="0" applyNumberFormat="1" applyFont="1" applyFill="1" applyBorder="1"/>
    <xf numFmtId="39" fontId="0" fillId="4" borderId="8" xfId="0" applyNumberFormat="1" applyFont="1" applyFill="1" applyBorder="1" applyAlignment="1">
      <alignment horizontal="center"/>
    </xf>
    <xf numFmtId="164" fontId="0" fillId="5" borderId="5" xfId="0" applyNumberFormat="1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9"/>
  <sheetViews>
    <sheetView workbookViewId="0"/>
  </sheetViews>
  <sheetFormatPr defaultRowHeight="15" x14ac:dyDescent="0.25"/>
  <cols>
    <col min="1" max="1" width="31" bestFit="1" customWidth="1"/>
    <col min="2" max="2" width="20.7109375" customWidth="1"/>
    <col min="3" max="3" width="43.7109375" bestFit="1" customWidth="1"/>
  </cols>
  <sheetData>
    <row r="1" spans="1:3" x14ac:dyDescent="0.25">
      <c r="A1" s="1" t="s">
        <v>0</v>
      </c>
      <c r="B1" s="14">
        <v>400000</v>
      </c>
      <c r="C1" s="2"/>
    </row>
    <row r="2" spans="1:3" x14ac:dyDescent="0.25">
      <c r="A2" s="3" t="s">
        <v>2</v>
      </c>
      <c r="B2" s="15">
        <v>3</v>
      </c>
      <c r="C2" s="4" t="s">
        <v>3</v>
      </c>
    </row>
    <row r="3" spans="1:3" x14ac:dyDescent="0.25">
      <c r="A3" s="3" t="s">
        <v>4</v>
      </c>
      <c r="B3" s="16">
        <v>300000</v>
      </c>
      <c r="C3" s="4"/>
    </row>
    <row r="4" spans="1:3" x14ac:dyDescent="0.25">
      <c r="A4" s="3" t="s">
        <v>5</v>
      </c>
      <c r="B4" s="17" t="s">
        <v>1</v>
      </c>
      <c r="C4" s="4"/>
    </row>
    <row r="5" spans="1:3" x14ac:dyDescent="0.25">
      <c r="A5" s="3" t="s">
        <v>6</v>
      </c>
      <c r="B5" s="18" t="s">
        <v>1</v>
      </c>
      <c r="C5" s="4" t="s">
        <v>7</v>
      </c>
    </row>
    <row r="6" spans="1:3" x14ac:dyDescent="0.25">
      <c r="A6" s="3" t="s">
        <v>8</v>
      </c>
      <c r="B6" s="18" t="s">
        <v>1</v>
      </c>
      <c r="C6" s="4" t="s">
        <v>9</v>
      </c>
    </row>
    <row r="7" spans="1:3" x14ac:dyDescent="0.25">
      <c r="A7" s="3" t="s">
        <v>10</v>
      </c>
      <c r="B7" s="18" t="s">
        <v>1</v>
      </c>
      <c r="C7" s="4"/>
    </row>
    <row r="8" spans="1:3" x14ac:dyDescent="0.25">
      <c r="A8" s="3" t="s">
        <v>11</v>
      </c>
      <c r="B8" s="19" t="s">
        <v>1</v>
      </c>
      <c r="C8" s="4"/>
    </row>
    <row r="9" spans="1:3" x14ac:dyDescent="0.25">
      <c r="A9" s="3" t="s">
        <v>12</v>
      </c>
      <c r="B9" s="19" t="s">
        <v>1</v>
      </c>
      <c r="C9" s="4"/>
    </row>
    <row r="10" spans="1:3" x14ac:dyDescent="0.25">
      <c r="A10" s="3" t="s">
        <v>13</v>
      </c>
      <c r="B10" s="20"/>
      <c r="C10" s="4"/>
    </row>
    <row r="11" spans="1:3" x14ac:dyDescent="0.25">
      <c r="A11" s="3" t="s">
        <v>14</v>
      </c>
      <c r="B11" s="19" t="s">
        <v>1</v>
      </c>
      <c r="C11" s="4"/>
    </row>
    <row r="12" spans="1:3" x14ac:dyDescent="0.25">
      <c r="A12" s="3" t="s">
        <v>15</v>
      </c>
      <c r="B12" s="15"/>
      <c r="C12" s="4"/>
    </row>
    <row r="13" spans="1:3" x14ac:dyDescent="0.25">
      <c r="A13" s="3" t="s">
        <v>16</v>
      </c>
      <c r="B13" s="21"/>
      <c r="C13" s="4"/>
    </row>
    <row r="14" spans="1:3" x14ac:dyDescent="0.25">
      <c r="A14" s="3" t="s">
        <v>17</v>
      </c>
      <c r="B14" s="21">
        <v>0.15</v>
      </c>
      <c r="C14" s="4"/>
    </row>
    <row r="15" spans="1:3" x14ac:dyDescent="0.25">
      <c r="A15" s="3"/>
      <c r="B15" s="5"/>
      <c r="C15" s="4">
        <v>1</v>
      </c>
    </row>
    <row r="16" spans="1:3" x14ac:dyDescent="0.25">
      <c r="A16" s="3"/>
      <c r="B16" s="6">
        <v>40909</v>
      </c>
      <c r="C16" s="8">
        <v>41455</v>
      </c>
    </row>
    <row r="17" spans="1:3" x14ac:dyDescent="0.25">
      <c r="A17" s="3" t="s">
        <v>18</v>
      </c>
      <c r="B17" s="22">
        <f>B1+B2*B3</f>
        <v>1300000</v>
      </c>
      <c r="C17" s="23"/>
    </row>
    <row r="18" spans="1:3" x14ac:dyDescent="0.25">
      <c r="A18" s="3" t="s">
        <v>19</v>
      </c>
      <c r="B18" s="22"/>
      <c r="C18" s="24"/>
    </row>
    <row r="19" spans="1:3" ht="15.75" thickBot="1" x14ac:dyDescent="0.3">
      <c r="A19" s="7" t="s">
        <v>20</v>
      </c>
      <c r="B19" s="25"/>
      <c r="C19" s="2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9"/>
  <sheetViews>
    <sheetView workbookViewId="0"/>
  </sheetViews>
  <sheetFormatPr defaultRowHeight="15" x14ac:dyDescent="0.25"/>
  <cols>
    <col min="1" max="1" width="31" bestFit="1" customWidth="1"/>
    <col min="2" max="2" width="20.7109375" customWidth="1"/>
    <col min="3" max="3" width="43.7109375" bestFit="1" customWidth="1"/>
  </cols>
  <sheetData>
    <row r="1" spans="1:3" x14ac:dyDescent="0.25">
      <c r="A1" s="1" t="s">
        <v>0</v>
      </c>
      <c r="B1" s="14">
        <v>400000</v>
      </c>
      <c r="C1" s="2"/>
    </row>
    <row r="2" spans="1:3" x14ac:dyDescent="0.25">
      <c r="A2" s="3" t="s">
        <v>2</v>
      </c>
      <c r="B2" s="15">
        <v>3</v>
      </c>
      <c r="C2" s="4" t="s">
        <v>3</v>
      </c>
    </row>
    <row r="3" spans="1:3" x14ac:dyDescent="0.25">
      <c r="A3" s="3" t="s">
        <v>4</v>
      </c>
      <c r="B3" s="16">
        <v>300000</v>
      </c>
      <c r="C3" s="4"/>
    </row>
    <row r="4" spans="1:3" x14ac:dyDescent="0.25">
      <c r="A4" s="3" t="s">
        <v>5</v>
      </c>
      <c r="B4" s="17">
        <v>3</v>
      </c>
      <c r="C4" s="4"/>
    </row>
    <row r="5" spans="1:3" x14ac:dyDescent="0.25">
      <c r="A5" s="3" t="s">
        <v>6</v>
      </c>
      <c r="B5" s="27">
        <v>420000</v>
      </c>
      <c r="C5" s="4" t="s">
        <v>7</v>
      </c>
    </row>
    <row r="6" spans="1:3" x14ac:dyDescent="0.25">
      <c r="A6" s="3" t="s">
        <v>8</v>
      </c>
      <c r="B6" s="27">
        <v>60000</v>
      </c>
      <c r="C6" s="4" t="s">
        <v>9</v>
      </c>
    </row>
    <row r="7" spans="1:3" x14ac:dyDescent="0.25">
      <c r="A7" s="3" t="s">
        <v>10</v>
      </c>
      <c r="B7" s="27">
        <v>5</v>
      </c>
      <c r="C7" s="4"/>
    </row>
    <row r="8" spans="1:3" x14ac:dyDescent="0.25">
      <c r="A8" s="3" t="s">
        <v>11</v>
      </c>
      <c r="B8" s="28">
        <v>0.15</v>
      </c>
      <c r="C8" s="4"/>
    </row>
    <row r="9" spans="1:3" x14ac:dyDescent="0.25">
      <c r="A9" s="3" t="s">
        <v>12</v>
      </c>
      <c r="B9" s="28">
        <f>1/3</f>
        <v>0.33333333333333331</v>
      </c>
      <c r="C9" s="4"/>
    </row>
    <row r="10" spans="1:3" x14ac:dyDescent="0.25">
      <c r="A10" s="3" t="s">
        <v>13</v>
      </c>
      <c r="B10" s="29"/>
      <c r="C10" s="4"/>
    </row>
    <row r="11" spans="1:3" x14ac:dyDescent="0.25">
      <c r="A11" s="3" t="s">
        <v>14</v>
      </c>
      <c r="B11" s="28">
        <v>0.05</v>
      </c>
      <c r="C11" s="4"/>
    </row>
    <row r="12" spans="1:3" x14ac:dyDescent="0.25">
      <c r="A12" s="3" t="s">
        <v>15</v>
      </c>
      <c r="B12" s="30"/>
      <c r="C12" s="4"/>
    </row>
    <row r="13" spans="1:3" x14ac:dyDescent="0.25">
      <c r="A13" s="3" t="s">
        <v>16</v>
      </c>
      <c r="B13" s="28"/>
      <c r="C13" s="4"/>
    </row>
    <row r="14" spans="1:3" x14ac:dyDescent="0.25">
      <c r="A14" s="3" t="s">
        <v>17</v>
      </c>
      <c r="B14" s="21">
        <v>0.15</v>
      </c>
      <c r="C14" s="4"/>
    </row>
    <row r="15" spans="1:3" x14ac:dyDescent="0.25">
      <c r="A15" s="3"/>
      <c r="B15" s="5"/>
      <c r="C15" s="4">
        <v>1</v>
      </c>
    </row>
    <row r="16" spans="1:3" x14ac:dyDescent="0.25">
      <c r="A16" s="3"/>
      <c r="B16" s="6">
        <v>40909</v>
      </c>
      <c r="C16" s="8">
        <v>41455</v>
      </c>
    </row>
    <row r="17" spans="1:3" x14ac:dyDescent="0.25">
      <c r="A17" s="3" t="s">
        <v>18</v>
      </c>
      <c r="B17" s="22">
        <f>B1+B2*B3</f>
        <v>1300000</v>
      </c>
      <c r="C17" s="23"/>
    </row>
    <row r="18" spans="1:3" x14ac:dyDescent="0.25">
      <c r="A18" s="3" t="s">
        <v>19</v>
      </c>
      <c r="B18" s="22"/>
      <c r="C18" s="24"/>
    </row>
    <row r="19" spans="1:3" ht="15.75" thickBot="1" x14ac:dyDescent="0.3">
      <c r="A19" s="7" t="s">
        <v>20</v>
      </c>
      <c r="B19" s="25"/>
      <c r="C19" s="2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19"/>
  <sheetViews>
    <sheetView workbookViewId="0"/>
  </sheetViews>
  <sheetFormatPr defaultRowHeight="15" x14ac:dyDescent="0.25"/>
  <cols>
    <col min="1" max="1" width="31" bestFit="1" customWidth="1"/>
    <col min="2" max="2" width="20.7109375" customWidth="1"/>
    <col min="3" max="3" width="43.7109375" bestFit="1" customWidth="1"/>
  </cols>
  <sheetData>
    <row r="1" spans="1:3" x14ac:dyDescent="0.25">
      <c r="A1" s="1" t="s">
        <v>0</v>
      </c>
      <c r="B1" s="14">
        <v>400000</v>
      </c>
      <c r="C1" s="2"/>
    </row>
    <row r="2" spans="1:3" x14ac:dyDescent="0.25">
      <c r="A2" s="3" t="s">
        <v>2</v>
      </c>
      <c r="B2" s="15">
        <v>3</v>
      </c>
      <c r="C2" s="4" t="s">
        <v>3</v>
      </c>
    </row>
    <row r="3" spans="1:3" x14ac:dyDescent="0.25">
      <c r="A3" s="3" t="s">
        <v>4</v>
      </c>
      <c r="B3" s="16">
        <v>300000</v>
      </c>
      <c r="C3" s="4"/>
    </row>
    <row r="4" spans="1:3" x14ac:dyDescent="0.25">
      <c r="A4" s="3" t="s">
        <v>5</v>
      </c>
      <c r="B4" s="17">
        <v>3</v>
      </c>
      <c r="C4" s="4"/>
    </row>
    <row r="5" spans="1:3" x14ac:dyDescent="0.25">
      <c r="A5" s="3" t="s">
        <v>6</v>
      </c>
      <c r="B5" s="27">
        <v>420000</v>
      </c>
      <c r="C5" s="4" t="s">
        <v>7</v>
      </c>
    </row>
    <row r="6" spans="1:3" x14ac:dyDescent="0.25">
      <c r="A6" s="3" t="s">
        <v>8</v>
      </c>
      <c r="B6" s="27">
        <v>60000</v>
      </c>
      <c r="C6" s="4" t="s">
        <v>9</v>
      </c>
    </row>
    <row r="7" spans="1:3" x14ac:dyDescent="0.25">
      <c r="A7" s="3" t="s">
        <v>10</v>
      </c>
      <c r="B7" s="27">
        <v>5</v>
      </c>
      <c r="C7" s="4"/>
    </row>
    <row r="8" spans="1:3" x14ac:dyDescent="0.25">
      <c r="A8" s="3" t="s">
        <v>11</v>
      </c>
      <c r="B8" s="28">
        <v>0.15</v>
      </c>
      <c r="C8" s="4"/>
    </row>
    <row r="9" spans="1:3" x14ac:dyDescent="0.25">
      <c r="A9" s="3" t="s">
        <v>12</v>
      </c>
      <c r="B9" s="28">
        <f>1/3</f>
        <v>0.33333333333333331</v>
      </c>
      <c r="C9" s="4"/>
    </row>
    <row r="10" spans="1:3" x14ac:dyDescent="0.25">
      <c r="A10" s="3" t="s">
        <v>13</v>
      </c>
      <c r="B10" s="20" t="s">
        <v>1</v>
      </c>
      <c r="C10" s="4"/>
    </row>
    <row r="11" spans="1:3" x14ac:dyDescent="0.25">
      <c r="A11" s="3" t="s">
        <v>14</v>
      </c>
      <c r="B11" s="28">
        <v>0.05</v>
      </c>
      <c r="C11" s="4"/>
    </row>
    <row r="12" spans="1:3" x14ac:dyDescent="0.25">
      <c r="A12" s="3" t="s">
        <v>15</v>
      </c>
      <c r="B12" s="30"/>
      <c r="C12" s="4"/>
    </row>
    <row r="13" spans="1:3" x14ac:dyDescent="0.25">
      <c r="A13" s="3" t="s">
        <v>16</v>
      </c>
      <c r="B13" s="28"/>
      <c r="C13" s="4"/>
    </row>
    <row r="14" spans="1:3" x14ac:dyDescent="0.25">
      <c r="A14" s="3" t="s">
        <v>17</v>
      </c>
      <c r="B14" s="21">
        <v>0.15</v>
      </c>
      <c r="C14" s="4"/>
    </row>
    <row r="15" spans="1:3" x14ac:dyDescent="0.25">
      <c r="A15" s="3"/>
      <c r="B15" s="5"/>
      <c r="C15" s="4">
        <v>1</v>
      </c>
    </row>
    <row r="16" spans="1:3" x14ac:dyDescent="0.25">
      <c r="A16" s="3"/>
      <c r="B16" s="6">
        <v>40909</v>
      </c>
      <c r="C16" s="8">
        <v>41455</v>
      </c>
    </row>
    <row r="17" spans="1:3" x14ac:dyDescent="0.25">
      <c r="A17" s="3" t="s">
        <v>18</v>
      </c>
      <c r="B17" s="22">
        <f>B1+B2*B3</f>
        <v>1300000</v>
      </c>
      <c r="C17" s="23"/>
    </row>
    <row r="18" spans="1:3" x14ac:dyDescent="0.25">
      <c r="A18" s="3" t="s">
        <v>19</v>
      </c>
      <c r="B18" s="22"/>
      <c r="C18" s="24"/>
    </row>
    <row r="19" spans="1:3" ht="15.75" thickBot="1" x14ac:dyDescent="0.3">
      <c r="A19" s="7" t="s">
        <v>20</v>
      </c>
      <c r="B19" s="25"/>
      <c r="C19" s="2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19"/>
  <sheetViews>
    <sheetView workbookViewId="0"/>
  </sheetViews>
  <sheetFormatPr defaultRowHeight="15" x14ac:dyDescent="0.25"/>
  <cols>
    <col min="1" max="1" width="31" bestFit="1" customWidth="1"/>
    <col min="2" max="2" width="20.7109375" customWidth="1"/>
    <col min="3" max="3" width="43.7109375" bestFit="1" customWidth="1"/>
  </cols>
  <sheetData>
    <row r="1" spans="1:3" x14ac:dyDescent="0.25">
      <c r="A1" s="1" t="s">
        <v>0</v>
      </c>
      <c r="B1" s="14">
        <v>400000</v>
      </c>
      <c r="C1" s="2"/>
    </row>
    <row r="2" spans="1:3" x14ac:dyDescent="0.25">
      <c r="A2" s="3" t="s">
        <v>2</v>
      </c>
      <c r="B2" s="15">
        <v>3</v>
      </c>
      <c r="C2" s="4" t="s">
        <v>3</v>
      </c>
    </row>
    <row r="3" spans="1:3" x14ac:dyDescent="0.25">
      <c r="A3" s="3" t="s">
        <v>4</v>
      </c>
      <c r="B3" s="16">
        <v>300000</v>
      </c>
      <c r="C3" s="4"/>
    </row>
    <row r="4" spans="1:3" x14ac:dyDescent="0.25">
      <c r="A4" s="3" t="s">
        <v>5</v>
      </c>
      <c r="B4" s="17">
        <v>3</v>
      </c>
      <c r="C4" s="4"/>
    </row>
    <row r="5" spans="1:3" x14ac:dyDescent="0.25">
      <c r="A5" s="3" t="s">
        <v>6</v>
      </c>
      <c r="B5" s="27">
        <v>420000</v>
      </c>
      <c r="C5" s="4" t="s">
        <v>7</v>
      </c>
    </row>
    <row r="6" spans="1:3" x14ac:dyDescent="0.25">
      <c r="A6" s="3" t="s">
        <v>8</v>
      </c>
      <c r="B6" s="27">
        <v>60000</v>
      </c>
      <c r="C6" s="4" t="s">
        <v>9</v>
      </c>
    </row>
    <row r="7" spans="1:3" x14ac:dyDescent="0.25">
      <c r="A7" s="3" t="s">
        <v>10</v>
      </c>
      <c r="B7" s="27">
        <v>5</v>
      </c>
      <c r="C7" s="4"/>
    </row>
    <row r="8" spans="1:3" x14ac:dyDescent="0.25">
      <c r="A8" s="3" t="s">
        <v>11</v>
      </c>
      <c r="B8" s="28">
        <v>0.15</v>
      </c>
      <c r="C8" s="4"/>
    </row>
    <row r="9" spans="1:3" x14ac:dyDescent="0.25">
      <c r="A9" s="3" t="s">
        <v>12</v>
      </c>
      <c r="B9" s="28">
        <f>1/3</f>
        <v>0.33333333333333331</v>
      </c>
      <c r="C9" s="4"/>
    </row>
    <row r="10" spans="1:3" x14ac:dyDescent="0.25">
      <c r="A10" s="3" t="s">
        <v>13</v>
      </c>
      <c r="B10" s="29">
        <f>B8*B9</f>
        <v>4.9999999999999996E-2</v>
      </c>
      <c r="C10" s="4"/>
    </row>
    <row r="11" spans="1:3" x14ac:dyDescent="0.25">
      <c r="A11" s="3" t="s">
        <v>14</v>
      </c>
      <c r="B11" s="28">
        <v>0.05</v>
      </c>
      <c r="C11" s="4"/>
    </row>
    <row r="12" spans="1:3" x14ac:dyDescent="0.25">
      <c r="A12" s="3" t="s">
        <v>15</v>
      </c>
      <c r="B12" s="30"/>
      <c r="C12" s="4"/>
    </row>
    <row r="13" spans="1:3" x14ac:dyDescent="0.25">
      <c r="A13" s="3" t="s">
        <v>16</v>
      </c>
      <c r="B13" s="28"/>
      <c r="C13" s="4"/>
    </row>
    <row r="14" spans="1:3" x14ac:dyDescent="0.25">
      <c r="A14" s="3" t="s">
        <v>17</v>
      </c>
      <c r="B14" s="21">
        <v>0.15</v>
      </c>
      <c r="C14" s="4"/>
    </row>
    <row r="15" spans="1:3" x14ac:dyDescent="0.25">
      <c r="A15" s="3"/>
      <c r="B15" s="5"/>
      <c r="C15" s="4">
        <v>1</v>
      </c>
    </row>
    <row r="16" spans="1:3" x14ac:dyDescent="0.25">
      <c r="A16" s="3"/>
      <c r="B16" s="6">
        <v>40909</v>
      </c>
      <c r="C16" s="8">
        <v>41455</v>
      </c>
    </row>
    <row r="17" spans="1:3" x14ac:dyDescent="0.25">
      <c r="A17" s="3" t="s">
        <v>18</v>
      </c>
      <c r="B17" s="22">
        <f>B1+B2*B3</f>
        <v>1300000</v>
      </c>
      <c r="C17" s="23"/>
    </row>
    <row r="18" spans="1:3" x14ac:dyDescent="0.25">
      <c r="A18" s="3" t="s">
        <v>19</v>
      </c>
      <c r="B18" s="22"/>
      <c r="C18" s="24"/>
    </row>
    <row r="19" spans="1:3" ht="15.75" thickBot="1" x14ac:dyDescent="0.3">
      <c r="A19" s="7" t="s">
        <v>20</v>
      </c>
      <c r="B19" s="25"/>
      <c r="C19" s="26"/>
    </row>
  </sheetData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19"/>
  <sheetViews>
    <sheetView workbookViewId="0"/>
  </sheetViews>
  <sheetFormatPr defaultRowHeight="15" x14ac:dyDescent="0.25"/>
  <cols>
    <col min="1" max="1" width="31" bestFit="1" customWidth="1"/>
    <col min="2" max="2" width="20.7109375" customWidth="1"/>
    <col min="3" max="3" width="43.7109375" bestFit="1" customWidth="1"/>
  </cols>
  <sheetData>
    <row r="1" spans="1:3" x14ac:dyDescent="0.25">
      <c r="A1" s="1" t="s">
        <v>0</v>
      </c>
      <c r="B1" s="14">
        <v>400000</v>
      </c>
      <c r="C1" s="2"/>
    </row>
    <row r="2" spans="1:3" x14ac:dyDescent="0.25">
      <c r="A2" s="3" t="s">
        <v>2</v>
      </c>
      <c r="B2" s="15">
        <v>3</v>
      </c>
      <c r="C2" s="4" t="s">
        <v>3</v>
      </c>
    </row>
    <row r="3" spans="1:3" x14ac:dyDescent="0.25">
      <c r="A3" s="3" t="s">
        <v>4</v>
      </c>
      <c r="B3" s="16">
        <v>300000</v>
      </c>
      <c r="C3" s="4"/>
    </row>
    <row r="4" spans="1:3" x14ac:dyDescent="0.25">
      <c r="A4" s="3" t="s">
        <v>5</v>
      </c>
      <c r="B4" s="17">
        <v>3</v>
      </c>
      <c r="C4" s="4"/>
    </row>
    <row r="5" spans="1:3" x14ac:dyDescent="0.25">
      <c r="A5" s="3" t="s">
        <v>6</v>
      </c>
      <c r="B5" s="27">
        <v>420000</v>
      </c>
      <c r="C5" s="4" t="s">
        <v>7</v>
      </c>
    </row>
    <row r="6" spans="1:3" x14ac:dyDescent="0.25">
      <c r="A6" s="3" t="s">
        <v>8</v>
      </c>
      <c r="B6" s="27">
        <v>60000</v>
      </c>
      <c r="C6" s="4" t="s">
        <v>9</v>
      </c>
    </row>
    <row r="7" spans="1:3" x14ac:dyDescent="0.25">
      <c r="A7" s="3" t="s">
        <v>10</v>
      </c>
      <c r="B7" s="27">
        <v>5</v>
      </c>
      <c r="C7" s="4"/>
    </row>
    <row r="8" spans="1:3" x14ac:dyDescent="0.25">
      <c r="A8" s="3" t="s">
        <v>11</v>
      </c>
      <c r="B8" s="28">
        <v>0.15</v>
      </c>
      <c r="C8" s="4"/>
    </row>
    <row r="9" spans="1:3" x14ac:dyDescent="0.25">
      <c r="A9" s="3" t="s">
        <v>12</v>
      </c>
      <c r="B9" s="28">
        <f>1/3</f>
        <v>0.33333333333333331</v>
      </c>
      <c r="C9" s="4"/>
    </row>
    <row r="10" spans="1:3" x14ac:dyDescent="0.25">
      <c r="A10" s="3" t="s">
        <v>13</v>
      </c>
      <c r="B10" s="29">
        <f>B8*B9</f>
        <v>4.9999999999999996E-2</v>
      </c>
      <c r="C10" s="4"/>
    </row>
    <row r="11" spans="1:3" x14ac:dyDescent="0.25">
      <c r="A11" s="3" t="s">
        <v>14</v>
      </c>
      <c r="B11" s="28">
        <v>0.05</v>
      </c>
      <c r="C11" s="4"/>
    </row>
    <row r="12" spans="1:3" x14ac:dyDescent="0.25">
      <c r="A12" s="3" t="s">
        <v>15</v>
      </c>
      <c r="B12" s="30"/>
      <c r="C12" s="4"/>
    </row>
    <row r="13" spans="1:3" x14ac:dyDescent="0.25">
      <c r="A13" s="3" t="s">
        <v>16</v>
      </c>
      <c r="B13" s="28"/>
      <c r="C13" s="4"/>
    </row>
    <row r="14" spans="1:3" x14ac:dyDescent="0.25">
      <c r="A14" s="3" t="s">
        <v>17</v>
      </c>
      <c r="B14" s="21">
        <v>0.15</v>
      </c>
      <c r="C14" s="4"/>
    </row>
    <row r="15" spans="1:3" x14ac:dyDescent="0.25">
      <c r="A15" s="3"/>
      <c r="B15" s="5"/>
      <c r="C15" s="4">
        <v>1</v>
      </c>
    </row>
    <row r="16" spans="1:3" x14ac:dyDescent="0.25">
      <c r="A16" s="3"/>
      <c r="B16" s="6">
        <v>40909</v>
      </c>
      <c r="C16" s="8">
        <v>41455</v>
      </c>
    </row>
    <row r="17" spans="1:3" x14ac:dyDescent="0.25">
      <c r="A17" s="3" t="s">
        <v>18</v>
      </c>
      <c r="B17" s="22">
        <f>B1+B2*B3</f>
        <v>1300000</v>
      </c>
      <c r="C17" s="23"/>
    </row>
    <row r="18" spans="1:3" x14ac:dyDescent="0.25">
      <c r="A18" s="3" t="s">
        <v>19</v>
      </c>
      <c r="B18" s="22"/>
      <c r="C18" s="24"/>
    </row>
    <row r="19" spans="1:3" ht="15.75" thickBot="1" x14ac:dyDescent="0.3">
      <c r="A19" s="7" t="s">
        <v>20</v>
      </c>
      <c r="B19" s="25"/>
      <c r="C19" s="46" t="s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19"/>
  <sheetViews>
    <sheetView workbookViewId="0"/>
  </sheetViews>
  <sheetFormatPr defaultRowHeight="15" x14ac:dyDescent="0.25"/>
  <cols>
    <col min="1" max="1" width="31" bestFit="1" customWidth="1"/>
    <col min="2" max="2" width="20.7109375" customWidth="1"/>
    <col min="3" max="3" width="43.7109375" bestFit="1" customWidth="1"/>
  </cols>
  <sheetData>
    <row r="1" spans="1:3" x14ac:dyDescent="0.25">
      <c r="A1" s="1" t="s">
        <v>0</v>
      </c>
      <c r="B1" s="14">
        <v>400000</v>
      </c>
      <c r="C1" s="2"/>
    </row>
    <row r="2" spans="1:3" x14ac:dyDescent="0.25">
      <c r="A2" s="3" t="s">
        <v>2</v>
      </c>
      <c r="B2" s="15">
        <v>3</v>
      </c>
      <c r="C2" s="4" t="s">
        <v>3</v>
      </c>
    </row>
    <row r="3" spans="1:3" x14ac:dyDescent="0.25">
      <c r="A3" s="3" t="s">
        <v>4</v>
      </c>
      <c r="B3" s="16">
        <v>300000</v>
      </c>
      <c r="C3" s="4"/>
    </row>
    <row r="4" spans="1:3" x14ac:dyDescent="0.25">
      <c r="A4" s="3" t="s">
        <v>5</v>
      </c>
      <c r="B4" s="17">
        <v>3</v>
      </c>
      <c r="C4" s="4"/>
    </row>
    <row r="5" spans="1:3" x14ac:dyDescent="0.25">
      <c r="A5" s="3" t="s">
        <v>6</v>
      </c>
      <c r="B5" s="27">
        <v>420000</v>
      </c>
      <c r="C5" s="4" t="s">
        <v>7</v>
      </c>
    </row>
    <row r="6" spans="1:3" x14ac:dyDescent="0.25">
      <c r="A6" s="3" t="s">
        <v>8</v>
      </c>
      <c r="B6" s="27">
        <v>60000</v>
      </c>
      <c r="C6" s="4" t="s">
        <v>9</v>
      </c>
    </row>
    <row r="7" spans="1:3" x14ac:dyDescent="0.25">
      <c r="A7" s="3" t="s">
        <v>10</v>
      </c>
      <c r="B7" s="27">
        <v>5</v>
      </c>
      <c r="C7" s="4"/>
    </row>
    <row r="8" spans="1:3" x14ac:dyDescent="0.25">
      <c r="A8" s="3" t="s">
        <v>11</v>
      </c>
      <c r="B8" s="28">
        <v>0.15</v>
      </c>
      <c r="C8" s="4"/>
    </row>
    <row r="9" spans="1:3" x14ac:dyDescent="0.25">
      <c r="A9" s="3" t="s">
        <v>12</v>
      </c>
      <c r="B9" s="28">
        <f>1/3</f>
        <v>0.33333333333333331</v>
      </c>
      <c r="C9" s="4"/>
    </row>
    <row r="10" spans="1:3" x14ac:dyDescent="0.25">
      <c r="A10" s="3" t="s">
        <v>13</v>
      </c>
      <c r="B10" s="29">
        <f>B8*B9</f>
        <v>4.9999999999999996E-2</v>
      </c>
      <c r="C10" s="4"/>
    </row>
    <row r="11" spans="1:3" x14ac:dyDescent="0.25">
      <c r="A11" s="3" t="s">
        <v>14</v>
      </c>
      <c r="B11" s="28">
        <v>0.05</v>
      </c>
      <c r="C11" s="4"/>
    </row>
    <row r="12" spans="1:3" x14ac:dyDescent="0.25">
      <c r="A12" s="3" t="s">
        <v>15</v>
      </c>
      <c r="B12" s="30"/>
      <c r="C12" s="4"/>
    </row>
    <row r="13" spans="1:3" x14ac:dyDescent="0.25">
      <c r="A13" s="3" t="s">
        <v>16</v>
      </c>
      <c r="B13" s="28"/>
      <c r="C13" s="4"/>
    </row>
    <row r="14" spans="1:3" x14ac:dyDescent="0.25">
      <c r="A14" s="3" t="s">
        <v>17</v>
      </c>
      <c r="B14" s="21">
        <v>0.15</v>
      </c>
      <c r="C14" s="4"/>
    </row>
    <row r="15" spans="1:3" x14ac:dyDescent="0.25">
      <c r="A15" s="3"/>
      <c r="B15" s="5"/>
      <c r="C15" s="4">
        <v>1</v>
      </c>
    </row>
    <row r="16" spans="1:3" x14ac:dyDescent="0.25">
      <c r="A16" s="3"/>
      <c r="B16" s="6">
        <v>40909</v>
      </c>
      <c r="C16" s="8">
        <v>41455</v>
      </c>
    </row>
    <row r="17" spans="1:3" x14ac:dyDescent="0.25">
      <c r="A17" s="3" t="s">
        <v>18</v>
      </c>
      <c r="B17" s="22">
        <f>B1+B2*B3</f>
        <v>1300000</v>
      </c>
      <c r="C17" s="23"/>
    </row>
    <row r="18" spans="1:3" x14ac:dyDescent="0.25">
      <c r="A18" s="3" t="s">
        <v>19</v>
      </c>
      <c r="B18" s="22"/>
      <c r="C18" s="24"/>
    </row>
    <row r="19" spans="1:3" ht="15.75" thickBot="1" x14ac:dyDescent="0.3">
      <c r="A19" s="7" t="s">
        <v>20</v>
      </c>
      <c r="B19" s="25"/>
      <c r="C19" s="26">
        <f>B5-B6*B4</f>
        <v>240000</v>
      </c>
    </row>
  </sheetData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"/>
  <sheetViews>
    <sheetView workbookViewId="0"/>
  </sheetViews>
  <sheetFormatPr defaultRowHeight="15" x14ac:dyDescent="0.25"/>
  <cols>
    <col min="1" max="1" width="31" bestFit="1" customWidth="1"/>
    <col min="2" max="2" width="20.7109375" customWidth="1"/>
    <col min="3" max="3" width="20.140625" customWidth="1"/>
    <col min="4" max="12" width="10.7109375" bestFit="1" customWidth="1"/>
  </cols>
  <sheetData>
    <row r="1" spans="1:12" x14ac:dyDescent="0.25">
      <c r="A1" s="1" t="s">
        <v>0</v>
      </c>
      <c r="B1" s="14">
        <v>400000</v>
      </c>
      <c r="C1" s="9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3" t="s">
        <v>2</v>
      </c>
      <c r="B2" s="15">
        <v>3</v>
      </c>
      <c r="C2" s="5" t="s">
        <v>3</v>
      </c>
      <c r="D2" s="12"/>
      <c r="E2" s="12"/>
      <c r="F2" s="12"/>
      <c r="G2" s="12"/>
      <c r="H2" s="12"/>
      <c r="I2" s="12"/>
      <c r="J2" s="12"/>
      <c r="K2" s="12"/>
      <c r="L2" s="13"/>
    </row>
    <row r="3" spans="1:12" x14ac:dyDescent="0.25">
      <c r="A3" s="3" t="s">
        <v>4</v>
      </c>
      <c r="B3" s="16">
        <v>300000</v>
      </c>
      <c r="C3" s="5"/>
      <c r="D3" s="12"/>
      <c r="E3" s="12"/>
      <c r="F3" s="12"/>
      <c r="G3" s="12"/>
      <c r="H3" s="12"/>
      <c r="I3" s="12"/>
      <c r="J3" s="12"/>
      <c r="K3" s="12"/>
      <c r="L3" s="13"/>
    </row>
    <row r="4" spans="1:12" x14ac:dyDescent="0.25">
      <c r="A4" s="3" t="s">
        <v>5</v>
      </c>
      <c r="B4" s="17">
        <v>3</v>
      </c>
      <c r="C4" s="5"/>
      <c r="D4" s="12"/>
      <c r="E4" s="12"/>
      <c r="F4" s="12"/>
      <c r="G4" s="12"/>
      <c r="H4" s="12"/>
      <c r="I4" s="12"/>
      <c r="J4" s="12"/>
      <c r="K4" s="12"/>
      <c r="L4" s="13"/>
    </row>
    <row r="5" spans="1:12" x14ac:dyDescent="0.25">
      <c r="A5" s="3" t="s">
        <v>6</v>
      </c>
      <c r="B5" s="27">
        <v>420000</v>
      </c>
      <c r="C5" s="5" t="s">
        <v>7</v>
      </c>
      <c r="D5" s="12"/>
      <c r="E5" s="12"/>
      <c r="F5" s="12"/>
      <c r="G5" s="12"/>
      <c r="H5" s="12"/>
      <c r="I5" s="12"/>
      <c r="J5" s="12"/>
      <c r="K5" s="12"/>
      <c r="L5" s="13"/>
    </row>
    <row r="6" spans="1:12" x14ac:dyDescent="0.25">
      <c r="A6" s="3" t="s">
        <v>8</v>
      </c>
      <c r="B6" s="27">
        <v>60000</v>
      </c>
      <c r="C6" s="5" t="s">
        <v>9</v>
      </c>
      <c r="D6" s="12"/>
      <c r="E6" s="12"/>
      <c r="F6" s="12"/>
      <c r="G6" s="12"/>
      <c r="H6" s="12"/>
      <c r="I6" s="12"/>
      <c r="J6" s="12"/>
      <c r="K6" s="12"/>
      <c r="L6" s="13"/>
    </row>
    <row r="7" spans="1:12" x14ac:dyDescent="0.25">
      <c r="A7" s="3" t="s">
        <v>10</v>
      </c>
      <c r="B7" s="27">
        <v>5</v>
      </c>
      <c r="C7" s="5"/>
      <c r="D7" s="12"/>
      <c r="E7" s="12"/>
      <c r="F7" s="12"/>
      <c r="G7" s="12"/>
      <c r="H7" s="12"/>
      <c r="I7" s="12"/>
      <c r="J7" s="12"/>
      <c r="K7" s="12"/>
      <c r="L7" s="13"/>
    </row>
    <row r="8" spans="1:12" x14ac:dyDescent="0.25">
      <c r="A8" s="3" t="s">
        <v>11</v>
      </c>
      <c r="B8" s="28">
        <v>0.15</v>
      </c>
      <c r="C8" s="5"/>
      <c r="D8" s="12"/>
      <c r="E8" s="12"/>
      <c r="F8" s="12"/>
      <c r="G8" s="12"/>
      <c r="H8" s="12"/>
      <c r="I8" s="12"/>
      <c r="J8" s="12"/>
      <c r="K8" s="12"/>
      <c r="L8" s="13"/>
    </row>
    <row r="9" spans="1:12" x14ac:dyDescent="0.25">
      <c r="A9" s="3" t="s">
        <v>12</v>
      </c>
      <c r="B9" s="28">
        <f>1/3</f>
        <v>0.33333333333333331</v>
      </c>
      <c r="C9" s="5"/>
      <c r="D9" s="12"/>
      <c r="E9" s="12"/>
      <c r="F9" s="12"/>
      <c r="G9" s="12"/>
      <c r="H9" s="12"/>
      <c r="I9" s="12"/>
      <c r="J9" s="12"/>
      <c r="K9" s="12"/>
      <c r="L9" s="13"/>
    </row>
    <row r="10" spans="1:12" x14ac:dyDescent="0.25">
      <c r="A10" s="3" t="s">
        <v>13</v>
      </c>
      <c r="B10" s="29">
        <f>B8*B9</f>
        <v>4.9999999999999996E-2</v>
      </c>
      <c r="C10" s="5"/>
      <c r="D10" s="12"/>
      <c r="E10" s="12"/>
      <c r="F10" s="12"/>
      <c r="G10" s="12"/>
      <c r="H10" s="12"/>
      <c r="I10" s="12"/>
      <c r="J10" s="12"/>
      <c r="K10" s="12"/>
      <c r="L10" s="13"/>
    </row>
    <row r="11" spans="1:12" x14ac:dyDescent="0.25">
      <c r="A11" s="3" t="s">
        <v>14</v>
      </c>
      <c r="B11" s="28">
        <v>0.05</v>
      </c>
      <c r="C11" s="5"/>
      <c r="D11" s="12"/>
      <c r="E11" s="12"/>
      <c r="F11" s="12"/>
      <c r="G11" s="12"/>
      <c r="H11" s="12"/>
      <c r="I11" s="12"/>
      <c r="J11" s="12"/>
      <c r="K11" s="12"/>
      <c r="L11" s="13"/>
    </row>
    <row r="12" spans="1:12" x14ac:dyDescent="0.25">
      <c r="A12" s="3" t="s">
        <v>15</v>
      </c>
      <c r="B12" s="30"/>
      <c r="C12" s="5"/>
      <c r="D12" s="12"/>
      <c r="E12" s="12"/>
      <c r="F12" s="12"/>
      <c r="G12" s="12"/>
      <c r="H12" s="12"/>
      <c r="I12" s="12"/>
      <c r="J12" s="12"/>
      <c r="K12" s="12"/>
      <c r="L12" s="13"/>
    </row>
    <row r="13" spans="1:12" x14ac:dyDescent="0.25">
      <c r="A13" s="3" t="s">
        <v>16</v>
      </c>
      <c r="B13" s="28"/>
      <c r="C13" s="5"/>
      <c r="D13" s="12"/>
      <c r="E13" s="12"/>
      <c r="F13" s="12"/>
      <c r="G13" s="12"/>
      <c r="H13" s="12"/>
      <c r="I13" s="12"/>
      <c r="J13" s="12"/>
      <c r="K13" s="12"/>
      <c r="L13" s="13"/>
    </row>
    <row r="14" spans="1:12" x14ac:dyDescent="0.25">
      <c r="A14" s="3" t="s">
        <v>17</v>
      </c>
      <c r="B14" s="21">
        <v>0.15</v>
      </c>
      <c r="C14" s="5"/>
      <c r="D14" s="12"/>
      <c r="E14" s="12"/>
      <c r="F14" s="12"/>
      <c r="G14" s="12"/>
      <c r="H14" s="12"/>
      <c r="I14" s="12"/>
      <c r="J14" s="12"/>
      <c r="K14" s="12"/>
      <c r="L14" s="13"/>
    </row>
    <row r="15" spans="1:12" x14ac:dyDescent="0.25">
      <c r="A15" s="3"/>
      <c r="B15" s="5"/>
      <c r="C15" s="5">
        <v>1</v>
      </c>
      <c r="D15" s="5">
        <v>2</v>
      </c>
      <c r="E15" s="5">
        <v>3</v>
      </c>
      <c r="F15" s="5">
        <v>4</v>
      </c>
      <c r="G15" s="5">
        <v>5</v>
      </c>
      <c r="H15" s="5">
        <v>6</v>
      </c>
      <c r="I15" s="5">
        <v>7</v>
      </c>
      <c r="J15" s="5">
        <v>8</v>
      </c>
      <c r="K15" s="5">
        <v>9</v>
      </c>
      <c r="L15" s="4">
        <v>10</v>
      </c>
    </row>
    <row r="16" spans="1:12" x14ac:dyDescent="0.25">
      <c r="A16" s="3"/>
      <c r="B16" s="6">
        <v>40909</v>
      </c>
      <c r="C16" s="6">
        <v>41455</v>
      </c>
      <c r="D16" s="6">
        <v>41820</v>
      </c>
      <c r="E16" s="6">
        <v>42185</v>
      </c>
      <c r="F16" s="6">
        <v>42551</v>
      </c>
      <c r="G16" s="6">
        <v>42916</v>
      </c>
      <c r="H16" s="6">
        <v>43281</v>
      </c>
      <c r="I16" s="6">
        <v>43646</v>
      </c>
      <c r="J16" s="6">
        <v>44012</v>
      </c>
      <c r="K16" s="6">
        <v>44377</v>
      </c>
      <c r="L16" s="8">
        <v>44742</v>
      </c>
    </row>
    <row r="17" spans="1:12" x14ac:dyDescent="0.25">
      <c r="A17" s="3" t="s">
        <v>18</v>
      </c>
      <c r="B17" s="32">
        <f>B1+B2*B3</f>
        <v>1300000</v>
      </c>
      <c r="C17" s="31"/>
      <c r="D17" s="31"/>
      <c r="E17" s="31"/>
      <c r="F17" s="31"/>
      <c r="G17" s="31"/>
      <c r="H17" s="31"/>
      <c r="I17" s="31"/>
      <c r="J17" s="31"/>
      <c r="K17" s="31"/>
      <c r="L17" s="33"/>
    </row>
    <row r="18" spans="1:12" x14ac:dyDescent="0.25">
      <c r="A18" s="3" t="s">
        <v>19</v>
      </c>
      <c r="B18" s="32"/>
      <c r="C18" s="34"/>
      <c r="D18" s="35" t="s">
        <v>1</v>
      </c>
      <c r="E18" s="35" t="s">
        <v>1</v>
      </c>
      <c r="F18" s="35" t="s">
        <v>1</v>
      </c>
      <c r="G18" s="35" t="s">
        <v>1</v>
      </c>
      <c r="H18" s="35" t="s">
        <v>1</v>
      </c>
      <c r="I18" s="35" t="s">
        <v>1</v>
      </c>
      <c r="J18" s="35" t="s">
        <v>1</v>
      </c>
      <c r="K18" s="35" t="s">
        <v>1</v>
      </c>
      <c r="L18" s="36" t="s">
        <v>1</v>
      </c>
    </row>
    <row r="19" spans="1:12" x14ac:dyDescent="0.25">
      <c r="A19" s="3" t="s">
        <v>20</v>
      </c>
      <c r="B19" s="37"/>
      <c r="C19" s="37">
        <f>B5-B6*B4</f>
        <v>240000</v>
      </c>
      <c r="D19" s="38"/>
      <c r="E19" s="38"/>
      <c r="F19" s="38"/>
      <c r="G19" s="38"/>
      <c r="H19" s="38"/>
      <c r="I19" s="38"/>
      <c r="J19" s="38"/>
      <c r="K19" s="38"/>
      <c r="L19" s="39"/>
    </row>
    <row r="20" spans="1:12" x14ac:dyDescent="0.25">
      <c r="A20" s="3" t="s">
        <v>21</v>
      </c>
      <c r="B20" s="31"/>
      <c r="C20" s="40"/>
      <c r="D20" s="40"/>
      <c r="E20" s="40"/>
      <c r="F20" s="40"/>
      <c r="G20" s="40"/>
      <c r="H20" s="40"/>
      <c r="I20" s="40"/>
      <c r="J20" s="40"/>
      <c r="K20" s="40"/>
      <c r="L20" s="41"/>
    </row>
    <row r="21" spans="1:12" x14ac:dyDescent="0.25">
      <c r="A21" s="3" t="s">
        <v>22</v>
      </c>
      <c r="B21" s="31"/>
      <c r="C21" s="37"/>
      <c r="D21" s="32"/>
      <c r="E21" s="32"/>
      <c r="F21" s="32"/>
      <c r="G21" s="32"/>
      <c r="H21" s="32"/>
      <c r="I21" s="32"/>
      <c r="J21" s="32"/>
      <c r="K21" s="32"/>
      <c r="L21" s="42"/>
    </row>
    <row r="22" spans="1:12" x14ac:dyDescent="0.25">
      <c r="A22" s="3" t="s">
        <v>23</v>
      </c>
      <c r="B22" s="31"/>
      <c r="C22" s="32"/>
      <c r="D22" s="32"/>
      <c r="E22" s="32"/>
      <c r="F22" s="32"/>
      <c r="G22" s="32"/>
      <c r="H22" s="32"/>
      <c r="I22" s="32"/>
      <c r="J22" s="32"/>
      <c r="K22" s="32"/>
      <c r="L22" s="42"/>
    </row>
    <row r="23" spans="1:12" x14ac:dyDescent="0.25">
      <c r="A23" s="3" t="s">
        <v>24</v>
      </c>
      <c r="B23" s="31"/>
      <c r="C23" s="37"/>
      <c r="D23" s="37"/>
      <c r="E23" s="37"/>
      <c r="F23" s="37"/>
      <c r="G23" s="37"/>
      <c r="H23" s="37"/>
      <c r="I23" s="37"/>
      <c r="J23" s="37"/>
      <c r="K23" s="37"/>
      <c r="L23" s="43"/>
    </row>
    <row r="24" spans="1:12" x14ac:dyDescent="0.25">
      <c r="A24" s="3" t="s">
        <v>25</v>
      </c>
      <c r="B24" s="31"/>
      <c r="C24" s="37"/>
      <c r="D24" s="37"/>
      <c r="E24" s="37"/>
      <c r="F24" s="37"/>
      <c r="G24" s="37"/>
      <c r="H24" s="37"/>
      <c r="I24" s="37"/>
      <c r="J24" s="37"/>
      <c r="K24" s="37"/>
      <c r="L24" s="43"/>
    </row>
    <row r="25" spans="1:12" ht="15.75" thickBot="1" x14ac:dyDescent="0.3">
      <c r="A25" s="7" t="s">
        <v>26</v>
      </c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5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"/>
  <sheetViews>
    <sheetView tabSelected="1" workbookViewId="0"/>
  </sheetViews>
  <sheetFormatPr defaultRowHeight="15" x14ac:dyDescent="0.25"/>
  <cols>
    <col min="1" max="1" width="31" bestFit="1" customWidth="1"/>
    <col min="2" max="2" width="20.7109375" customWidth="1"/>
    <col min="3" max="3" width="20.140625" customWidth="1"/>
    <col min="4" max="12" width="10.7109375" bestFit="1" customWidth="1"/>
  </cols>
  <sheetData>
    <row r="1" spans="1:12" x14ac:dyDescent="0.25">
      <c r="A1" s="1" t="s">
        <v>0</v>
      </c>
      <c r="B1" s="14">
        <v>400000</v>
      </c>
      <c r="C1" s="9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3" t="s">
        <v>2</v>
      </c>
      <c r="B2" s="15">
        <v>3</v>
      </c>
      <c r="C2" s="5" t="s">
        <v>3</v>
      </c>
      <c r="D2" s="12"/>
      <c r="E2" s="12"/>
      <c r="F2" s="12"/>
      <c r="G2" s="12"/>
      <c r="H2" s="12"/>
      <c r="I2" s="12"/>
      <c r="J2" s="12"/>
      <c r="K2" s="12"/>
      <c r="L2" s="13"/>
    </row>
    <row r="3" spans="1:12" x14ac:dyDescent="0.25">
      <c r="A3" s="3" t="s">
        <v>4</v>
      </c>
      <c r="B3" s="16">
        <v>300000</v>
      </c>
      <c r="C3" s="5"/>
      <c r="D3" s="12"/>
      <c r="E3" s="12"/>
      <c r="F3" s="12"/>
      <c r="G3" s="12"/>
      <c r="H3" s="12"/>
      <c r="I3" s="12"/>
      <c r="J3" s="12"/>
      <c r="K3" s="12"/>
      <c r="L3" s="13"/>
    </row>
    <row r="4" spans="1:12" x14ac:dyDescent="0.25">
      <c r="A4" s="3" t="s">
        <v>5</v>
      </c>
      <c r="B4" s="17">
        <v>3</v>
      </c>
      <c r="C4" s="5"/>
      <c r="D4" s="12"/>
      <c r="E4" s="12"/>
      <c r="F4" s="12"/>
      <c r="G4" s="12"/>
      <c r="H4" s="12"/>
      <c r="I4" s="12"/>
      <c r="J4" s="12"/>
      <c r="K4" s="12"/>
      <c r="L4" s="13"/>
    </row>
    <row r="5" spans="1:12" x14ac:dyDescent="0.25">
      <c r="A5" s="3" t="s">
        <v>6</v>
      </c>
      <c r="B5" s="27">
        <v>420000</v>
      </c>
      <c r="C5" s="5" t="s">
        <v>7</v>
      </c>
      <c r="D5" s="12"/>
      <c r="E5" s="12"/>
      <c r="F5" s="12"/>
      <c r="G5" s="12"/>
      <c r="H5" s="12"/>
      <c r="I5" s="12"/>
      <c r="J5" s="12"/>
      <c r="K5" s="12"/>
      <c r="L5" s="13"/>
    </row>
    <row r="6" spans="1:12" x14ac:dyDescent="0.25">
      <c r="A6" s="3" t="s">
        <v>8</v>
      </c>
      <c r="B6" s="27">
        <v>60000</v>
      </c>
      <c r="C6" s="5" t="s">
        <v>9</v>
      </c>
      <c r="D6" s="12"/>
      <c r="E6" s="12"/>
      <c r="F6" s="12"/>
      <c r="G6" s="12"/>
      <c r="H6" s="12"/>
      <c r="I6" s="12"/>
      <c r="J6" s="12"/>
      <c r="K6" s="12"/>
      <c r="L6" s="13"/>
    </row>
    <row r="7" spans="1:12" x14ac:dyDescent="0.25">
      <c r="A7" s="3" t="s">
        <v>10</v>
      </c>
      <c r="B7" s="27">
        <v>5</v>
      </c>
      <c r="C7" s="5"/>
      <c r="D7" s="12"/>
      <c r="E7" s="12"/>
      <c r="F7" s="12"/>
      <c r="G7" s="12"/>
      <c r="H7" s="12"/>
      <c r="I7" s="12"/>
      <c r="J7" s="12"/>
      <c r="K7" s="12"/>
      <c r="L7" s="13"/>
    </row>
    <row r="8" spans="1:12" x14ac:dyDescent="0.25">
      <c r="A8" s="3" t="s">
        <v>11</v>
      </c>
      <c r="B8" s="28">
        <v>0.15</v>
      </c>
      <c r="C8" s="5"/>
      <c r="D8" s="12"/>
      <c r="E8" s="12"/>
      <c r="F8" s="12"/>
      <c r="G8" s="12"/>
      <c r="H8" s="12"/>
      <c r="I8" s="12"/>
      <c r="J8" s="12"/>
      <c r="K8" s="12"/>
      <c r="L8" s="13"/>
    </row>
    <row r="9" spans="1:12" x14ac:dyDescent="0.25">
      <c r="A9" s="3" t="s">
        <v>12</v>
      </c>
      <c r="B9" s="28">
        <f>1/3</f>
        <v>0.33333333333333331</v>
      </c>
      <c r="C9" s="5"/>
      <c r="D9" s="12"/>
      <c r="E9" s="12"/>
      <c r="F9" s="12"/>
      <c r="G9" s="12"/>
      <c r="H9" s="12"/>
      <c r="I9" s="12"/>
      <c r="J9" s="12"/>
      <c r="K9" s="12"/>
      <c r="L9" s="13"/>
    </row>
    <row r="10" spans="1:12" x14ac:dyDescent="0.25">
      <c r="A10" s="3" t="s">
        <v>13</v>
      </c>
      <c r="B10" s="29">
        <f>B8*B9</f>
        <v>4.9999999999999996E-2</v>
      </c>
      <c r="C10" s="5"/>
      <c r="D10" s="12"/>
      <c r="E10" s="12"/>
      <c r="F10" s="12"/>
      <c r="G10" s="12"/>
      <c r="H10" s="12"/>
      <c r="I10" s="12"/>
      <c r="J10" s="12"/>
      <c r="K10" s="12"/>
      <c r="L10" s="13"/>
    </row>
    <row r="11" spans="1:12" x14ac:dyDescent="0.25">
      <c r="A11" s="3" t="s">
        <v>14</v>
      </c>
      <c r="B11" s="28">
        <v>0.05</v>
      </c>
      <c r="C11" s="5"/>
      <c r="D11" s="12"/>
      <c r="E11" s="12"/>
      <c r="F11" s="12"/>
      <c r="G11" s="12"/>
      <c r="H11" s="12"/>
      <c r="I11" s="12"/>
      <c r="J11" s="12"/>
      <c r="K11" s="12"/>
      <c r="L11" s="13"/>
    </row>
    <row r="12" spans="1:12" x14ac:dyDescent="0.25">
      <c r="A12" s="3" t="s">
        <v>15</v>
      </c>
      <c r="B12" s="30"/>
      <c r="C12" s="5"/>
      <c r="D12" s="12"/>
      <c r="E12" s="12"/>
      <c r="F12" s="12"/>
      <c r="G12" s="12"/>
      <c r="H12" s="12"/>
      <c r="I12" s="12"/>
      <c r="J12" s="12"/>
      <c r="K12" s="12"/>
      <c r="L12" s="13"/>
    </row>
    <row r="13" spans="1:12" x14ac:dyDescent="0.25">
      <c r="A13" s="3" t="s">
        <v>16</v>
      </c>
      <c r="B13" s="28"/>
      <c r="C13" s="5"/>
      <c r="D13" s="12"/>
      <c r="E13" s="12"/>
      <c r="F13" s="12"/>
      <c r="G13" s="12"/>
      <c r="H13" s="12"/>
      <c r="I13" s="12"/>
      <c r="J13" s="12"/>
      <c r="K13" s="12"/>
      <c r="L13" s="13"/>
    </row>
    <row r="14" spans="1:12" x14ac:dyDescent="0.25">
      <c r="A14" s="3" t="s">
        <v>17</v>
      </c>
      <c r="B14" s="21">
        <v>0.15</v>
      </c>
      <c r="C14" s="5"/>
      <c r="D14" s="12"/>
      <c r="E14" s="12"/>
      <c r="F14" s="12"/>
      <c r="G14" s="12"/>
      <c r="H14" s="12"/>
      <c r="I14" s="12"/>
      <c r="J14" s="12"/>
      <c r="K14" s="12"/>
      <c r="L14" s="13"/>
    </row>
    <row r="15" spans="1:12" x14ac:dyDescent="0.25">
      <c r="A15" s="3"/>
      <c r="B15" s="5"/>
      <c r="C15" s="5">
        <v>1</v>
      </c>
      <c r="D15" s="5">
        <v>2</v>
      </c>
      <c r="E15" s="5">
        <v>3</v>
      </c>
      <c r="F15" s="5">
        <v>4</v>
      </c>
      <c r="G15" s="5">
        <v>5</v>
      </c>
      <c r="H15" s="5">
        <v>6</v>
      </c>
      <c r="I15" s="5">
        <v>7</v>
      </c>
      <c r="J15" s="5">
        <v>8</v>
      </c>
      <c r="K15" s="5">
        <v>9</v>
      </c>
      <c r="L15" s="4">
        <v>10</v>
      </c>
    </row>
    <row r="16" spans="1:12" x14ac:dyDescent="0.25">
      <c r="A16" s="3"/>
      <c r="B16" s="6">
        <v>40909</v>
      </c>
      <c r="C16" s="6">
        <v>41455</v>
      </c>
      <c r="D16" s="6">
        <v>41820</v>
      </c>
      <c r="E16" s="6">
        <v>42185</v>
      </c>
      <c r="F16" s="6">
        <v>42551</v>
      </c>
      <c r="G16" s="6">
        <v>42916</v>
      </c>
      <c r="H16" s="6">
        <v>43281</v>
      </c>
      <c r="I16" s="6">
        <v>43646</v>
      </c>
      <c r="J16" s="6">
        <v>44012</v>
      </c>
      <c r="K16" s="6">
        <v>44377</v>
      </c>
      <c r="L16" s="8">
        <v>44742</v>
      </c>
    </row>
    <row r="17" spans="1:12" x14ac:dyDescent="0.25">
      <c r="A17" s="3" t="s">
        <v>18</v>
      </c>
      <c r="B17" s="32">
        <f>B1+B2*B3</f>
        <v>1300000</v>
      </c>
      <c r="C17" s="31"/>
      <c r="D17" s="31"/>
      <c r="E17" s="31"/>
      <c r="F17" s="31"/>
      <c r="G17" s="31"/>
      <c r="H17" s="31"/>
      <c r="I17" s="31"/>
      <c r="J17" s="31"/>
      <c r="K17" s="31"/>
      <c r="L17" s="33"/>
    </row>
    <row r="18" spans="1:12" x14ac:dyDescent="0.25">
      <c r="A18" s="3" t="s">
        <v>19</v>
      </c>
      <c r="B18" s="32"/>
      <c r="C18" s="34"/>
      <c r="D18" s="35">
        <f>IF(D15&lt;=$B$7+1,$B$8,$B$10)</f>
        <v>0.15</v>
      </c>
      <c r="E18" s="35">
        <f t="shared" ref="E18:L18" si="0">IF(E15&lt;=$B$7+1,$B$8,$B$10)</f>
        <v>0.15</v>
      </c>
      <c r="F18" s="35">
        <f t="shared" si="0"/>
        <v>0.15</v>
      </c>
      <c r="G18" s="35">
        <f t="shared" si="0"/>
        <v>0.15</v>
      </c>
      <c r="H18" s="35">
        <f t="shared" si="0"/>
        <v>0.15</v>
      </c>
      <c r="I18" s="35">
        <f t="shared" si="0"/>
        <v>4.9999999999999996E-2</v>
      </c>
      <c r="J18" s="35">
        <f t="shared" si="0"/>
        <v>4.9999999999999996E-2</v>
      </c>
      <c r="K18" s="35">
        <f t="shared" si="0"/>
        <v>4.9999999999999996E-2</v>
      </c>
      <c r="L18" s="47">
        <f t="shared" si="0"/>
        <v>4.9999999999999996E-2</v>
      </c>
    </row>
    <row r="19" spans="1:12" x14ac:dyDescent="0.25">
      <c r="A19" s="3" t="s">
        <v>20</v>
      </c>
      <c r="B19" s="37"/>
      <c r="C19" s="37">
        <f>B5-B6*B4</f>
        <v>240000</v>
      </c>
      <c r="D19" s="38"/>
      <c r="E19" s="38"/>
      <c r="F19" s="38"/>
      <c r="G19" s="38"/>
      <c r="H19" s="38"/>
      <c r="I19" s="38"/>
      <c r="J19" s="38"/>
      <c r="K19" s="38"/>
      <c r="L19" s="39"/>
    </row>
    <row r="20" spans="1:12" x14ac:dyDescent="0.25">
      <c r="A20" s="3" t="s">
        <v>21</v>
      </c>
      <c r="B20" s="31"/>
      <c r="C20" s="40"/>
      <c r="D20" s="40"/>
      <c r="E20" s="40"/>
      <c r="F20" s="40"/>
      <c r="G20" s="40"/>
      <c r="H20" s="40"/>
      <c r="I20" s="40"/>
      <c r="J20" s="40"/>
      <c r="K20" s="40"/>
      <c r="L20" s="41"/>
    </row>
    <row r="21" spans="1:12" x14ac:dyDescent="0.25">
      <c r="A21" s="3" t="s">
        <v>22</v>
      </c>
      <c r="B21" s="31"/>
      <c r="C21" s="37"/>
      <c r="D21" s="32"/>
      <c r="E21" s="32"/>
      <c r="F21" s="32"/>
      <c r="G21" s="32"/>
      <c r="H21" s="32"/>
      <c r="I21" s="32"/>
      <c r="J21" s="32"/>
      <c r="K21" s="32"/>
      <c r="L21" s="42"/>
    </row>
    <row r="22" spans="1:12" x14ac:dyDescent="0.25">
      <c r="A22" s="3" t="s">
        <v>23</v>
      </c>
      <c r="B22" s="31"/>
      <c r="C22" s="32"/>
      <c r="D22" s="32"/>
      <c r="E22" s="32"/>
      <c r="F22" s="32"/>
      <c r="G22" s="32"/>
      <c r="H22" s="32"/>
      <c r="I22" s="32"/>
      <c r="J22" s="32"/>
      <c r="K22" s="32"/>
      <c r="L22" s="42"/>
    </row>
    <row r="23" spans="1:12" x14ac:dyDescent="0.25">
      <c r="A23" s="3" t="s">
        <v>24</v>
      </c>
      <c r="B23" s="31"/>
      <c r="C23" s="37"/>
      <c r="D23" s="37"/>
      <c r="E23" s="37"/>
      <c r="F23" s="37"/>
      <c r="G23" s="37"/>
      <c r="H23" s="37"/>
      <c r="I23" s="37"/>
      <c r="J23" s="37"/>
      <c r="K23" s="37"/>
      <c r="L23" s="43"/>
    </row>
    <row r="24" spans="1:12" x14ac:dyDescent="0.25">
      <c r="A24" s="3" t="s">
        <v>25</v>
      </c>
      <c r="B24" s="31"/>
      <c r="C24" s="37"/>
      <c r="D24" s="37"/>
      <c r="E24" s="37"/>
      <c r="F24" s="37"/>
      <c r="G24" s="37"/>
      <c r="H24" s="37"/>
      <c r="I24" s="37"/>
      <c r="J24" s="37"/>
      <c r="K24" s="37"/>
      <c r="L24" s="43"/>
    </row>
    <row r="25" spans="1:12" ht="15.75" thickBot="1" x14ac:dyDescent="0.3">
      <c r="A25" s="7" t="s">
        <v>26</v>
      </c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5"/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90</vt:i4>
      </vt:variant>
    </vt:vector>
  </HeadingPairs>
  <TitlesOfParts>
    <vt:vector size="98" baseType="lpstr">
      <vt:lpstr>6.10_Step1_Initial</vt:lpstr>
      <vt:lpstr>6.10_Step1_Final</vt:lpstr>
      <vt:lpstr>6.10_Step2_Initial</vt:lpstr>
      <vt:lpstr>6.10_Step2_Final</vt:lpstr>
      <vt:lpstr>6.10_Step3_Initial</vt:lpstr>
      <vt:lpstr>6.10_Step3_Final</vt:lpstr>
      <vt:lpstr>6.10_Step4_Initial</vt:lpstr>
      <vt:lpstr>6.10_Step4_Final</vt:lpstr>
      <vt:lpstr>'6.10_Step1_Final'!Annual_Capacity</vt:lpstr>
      <vt:lpstr>'6.10_Step1_Initial'!Annual_Capacity</vt:lpstr>
      <vt:lpstr>'6.10_Step2_Final'!Annual_Capacity</vt:lpstr>
      <vt:lpstr>'6.10_Step2_Initial'!Annual_Capacity</vt:lpstr>
      <vt:lpstr>'6.10_Step3_Final'!Annual_Capacity</vt:lpstr>
      <vt:lpstr>'6.10_Step3_Initial'!Annual_Capacity</vt:lpstr>
      <vt:lpstr>'6.10_Step4_Final'!Annual_Capacity</vt:lpstr>
      <vt:lpstr>'6.10_Step4_Initial'!Annual_Capacity</vt:lpstr>
      <vt:lpstr>'6.10_Step1_Final'!Annual_price_increase</vt:lpstr>
      <vt:lpstr>'6.10_Step2_Initial'!Annual_price_increase</vt:lpstr>
      <vt:lpstr>'6.10_Step3_Initial'!Annual_price_increase</vt:lpstr>
      <vt:lpstr>'6.10_Step4_Final'!Annual_price_increase</vt:lpstr>
      <vt:lpstr>'6.10_Step4_Initial'!Annual_price_increase</vt:lpstr>
      <vt:lpstr>Annual_price_increase</vt:lpstr>
      <vt:lpstr>'6.10_Step1_Final'!Annual_unit_cost_rate_of_increase</vt:lpstr>
      <vt:lpstr>'6.10_Step2_Initial'!Annual_unit_cost_rate_of_increase</vt:lpstr>
      <vt:lpstr>'6.10_Step3_Initial'!Annual_unit_cost_rate_of_increase</vt:lpstr>
      <vt:lpstr>'6.10_Step4_Final'!Annual_unit_cost_rate_of_increase</vt:lpstr>
      <vt:lpstr>'6.10_Step4_Initial'!Annual_unit_cost_rate_of_increase</vt:lpstr>
      <vt:lpstr>Annual_unit_cost_rate_of_increase</vt:lpstr>
      <vt:lpstr>'6.10_Step1_Final'!Beginning_growth_rate</vt:lpstr>
      <vt:lpstr>'6.10_Step2_Initial'!Beginning_growth_rate</vt:lpstr>
      <vt:lpstr>'6.10_Step3_Initial'!Beginning_growth_rate</vt:lpstr>
      <vt:lpstr>'6.10_Step4_Final'!Beginning_growth_rate</vt:lpstr>
      <vt:lpstr>'6.10_Step4_Initial'!Beginning_growth_rate</vt:lpstr>
      <vt:lpstr>Beginning_growth_rate</vt:lpstr>
      <vt:lpstr>'6.10_Step1_Final'!Cost_per_unit_of_capacity</vt:lpstr>
      <vt:lpstr>'6.10_Step1_Initial'!Cost_per_unit_of_capacity</vt:lpstr>
      <vt:lpstr>'6.10_Step2_Final'!Cost_per_unit_of_capacity</vt:lpstr>
      <vt:lpstr>'6.10_Step2_Initial'!Cost_per_unit_of_capacity</vt:lpstr>
      <vt:lpstr>'6.10_Step3_Final'!Cost_per_unit_of_capacity</vt:lpstr>
      <vt:lpstr>'6.10_Step3_Initial'!Cost_per_unit_of_capacity</vt:lpstr>
      <vt:lpstr>'6.10_Step4_Final'!Cost_per_unit_of_capacity</vt:lpstr>
      <vt:lpstr>'6.10_Step4_Initial'!Cost_per_unit_of_capacity</vt:lpstr>
      <vt:lpstr>'6.10_Step1_Final'!Discount_rate</vt:lpstr>
      <vt:lpstr>'6.10_Step2_Initial'!Discount_rate</vt:lpstr>
      <vt:lpstr>'6.10_Step3_Initial'!Discount_rate</vt:lpstr>
      <vt:lpstr>'6.10_Step4_Final'!Discount_rate</vt:lpstr>
      <vt:lpstr>'6.10_Step4_Initial'!Discount_rate</vt:lpstr>
      <vt:lpstr>Discount_rate</vt:lpstr>
      <vt:lpstr>'6.10_Step1_Final'!Plant_fixed_cost</vt:lpstr>
      <vt:lpstr>'6.10_Step1_Initial'!Plant_fixed_cost</vt:lpstr>
      <vt:lpstr>'6.10_Step2_Final'!Plant_fixed_cost</vt:lpstr>
      <vt:lpstr>'6.10_Step2_Initial'!Plant_fixed_cost</vt:lpstr>
      <vt:lpstr>'6.10_Step3_Final'!Plant_fixed_cost</vt:lpstr>
      <vt:lpstr>'6.10_Step3_Initial'!Plant_fixed_cost</vt:lpstr>
      <vt:lpstr>'6.10_Step4_Final'!Plant_fixed_cost</vt:lpstr>
      <vt:lpstr>'6.10_Step4_Initial'!Plant_fixed_cost</vt:lpstr>
      <vt:lpstr>'6.10_Step1_Final'!Steady_beginning</vt:lpstr>
      <vt:lpstr>'6.10_Step2_Initial'!Steady_beginning</vt:lpstr>
      <vt:lpstr>'6.10_Step3_Initial'!Steady_beginning</vt:lpstr>
      <vt:lpstr>'6.10_Step4_Final'!Steady_beginning</vt:lpstr>
      <vt:lpstr>'6.10_Step4_Initial'!Steady_beginning</vt:lpstr>
      <vt:lpstr>Steady_beginning</vt:lpstr>
      <vt:lpstr>'6.10_Step1_Final'!Steady_state_growth_rate</vt:lpstr>
      <vt:lpstr>'6.10_Step2_Initial'!Steady_state_growth_rate</vt:lpstr>
      <vt:lpstr>'6.10_Step3_Initial'!Steady_state_growth_rate</vt:lpstr>
      <vt:lpstr>'6.10_Step4_Final'!Steady_state_growth_rate</vt:lpstr>
      <vt:lpstr>'6.10_Step4_Initial'!Steady_state_growth_rate</vt:lpstr>
      <vt:lpstr>Steady_state_growth_rate</vt:lpstr>
      <vt:lpstr>'6.10_Step1_Final'!Year_1_demand_intercept</vt:lpstr>
      <vt:lpstr>'6.10_Step2_Initial'!Year_1_demand_intercept</vt:lpstr>
      <vt:lpstr>'6.10_Step3_Initial'!Year_1_demand_intercept</vt:lpstr>
      <vt:lpstr>'6.10_Step4_Final'!Year_1_demand_intercept</vt:lpstr>
      <vt:lpstr>'6.10_Step4_Initial'!Year_1_demand_intercept</vt:lpstr>
      <vt:lpstr>Year_1_demand_intercept</vt:lpstr>
      <vt:lpstr>'6.10_Step1_Final'!Year_1_demand_slope</vt:lpstr>
      <vt:lpstr>'6.10_Step2_Initial'!Year_1_demand_slope</vt:lpstr>
      <vt:lpstr>'6.10_Step3_Initial'!Year_1_demand_slope</vt:lpstr>
      <vt:lpstr>'6.10_Step4_Final'!Year_1_demand_slope</vt:lpstr>
      <vt:lpstr>'6.10_Step4_Initial'!Year_1_demand_slope</vt:lpstr>
      <vt:lpstr>Year_1_demand_slope</vt:lpstr>
      <vt:lpstr>'6.10_Step1_Final'!Year_1_selling_price</vt:lpstr>
      <vt:lpstr>'6.10_Step2_Initial'!Year_1_selling_price</vt:lpstr>
      <vt:lpstr>'6.10_Step3_Initial'!Year_1_selling_price</vt:lpstr>
      <vt:lpstr>'6.10_Step4_Final'!Year_1_selling_price</vt:lpstr>
      <vt:lpstr>'6.10_Step4_Initial'!Year_1_selling_price</vt:lpstr>
      <vt:lpstr>Year_1_selling_price</vt:lpstr>
      <vt:lpstr>'6.10_Step1_Final'!Year_1_variable_cost_of_production</vt:lpstr>
      <vt:lpstr>'6.10_Step2_Initial'!Year_1_variable_cost_of_production</vt:lpstr>
      <vt:lpstr>'6.10_Step3_Initial'!Year_1_variable_cost_of_production</vt:lpstr>
      <vt:lpstr>'6.10_Step4_Final'!Year_1_variable_cost_of_production</vt:lpstr>
      <vt:lpstr>'6.10_Step4_Initial'!Year_1_variable_cost_of_production</vt:lpstr>
      <vt:lpstr>Year_1_variable_cost_of_production</vt:lpstr>
      <vt:lpstr>'6.10_Step1_Final'!Years_till_demand_steady_state</vt:lpstr>
      <vt:lpstr>'6.10_Step2_Initial'!Years_till_demand_steady_state</vt:lpstr>
      <vt:lpstr>'6.10_Step3_Initial'!Years_till_demand_steady_state</vt:lpstr>
      <vt:lpstr>'6.10_Step4_Final'!Years_till_demand_steady_state</vt:lpstr>
      <vt:lpstr>'6.10_Step4_Initial'!Years_till_demand_steady_state</vt:lpstr>
      <vt:lpstr>Years_till_demand_steady_state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Kartik</dc:creator>
  <cp:lastModifiedBy>Kartik</cp:lastModifiedBy>
  <dcterms:created xsi:type="dcterms:W3CDTF">2018-07-30T12:10:38Z</dcterms:created>
  <dcterms:modified xsi:type="dcterms:W3CDTF">2018-08-24T04:47:24Z</dcterms:modified>
</cp:coreProperties>
</file>